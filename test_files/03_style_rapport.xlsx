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Instituti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RAPPORT DE PERFORMANCE — ANNÉE UNIVERSITAIRE 2024-2025</t>
        </is>
      </c>
    </row>
    <row r="2">
      <c r="A2" t="inlineStr">
        <is>
          <t>Généré le: 25/04/2025</t>
        </is>
      </c>
    </row>
    <row r="4">
      <c r="A4">
        <f>== SECTION ACADÉMIQUE ===</f>
        <v/>
      </c>
    </row>
    <row r="5">
      <c r="A5" t="inlineStr">
        <is>
          <t>Indicateur</t>
        </is>
      </c>
      <c r="B5" t="inlineStr">
        <is>
          <t>Résultat</t>
        </is>
      </c>
      <c r="C5" t="inlineStr">
        <is>
          <t>Objectif</t>
        </is>
      </c>
      <c r="D5" t="inlineStr">
        <is>
          <t>Statut</t>
        </is>
      </c>
    </row>
    <row r="6">
      <c r="A6" t="inlineStr">
        <is>
          <t>Taux de réussite global</t>
        </is>
      </c>
      <c r="B6" t="inlineStr">
        <is>
          <t>86%</t>
        </is>
      </c>
      <c r="C6" t="inlineStr">
        <is>
          <t>90%</t>
        </is>
      </c>
      <c r="D6" t="inlineStr">
        <is>
          <t>À améliorer</t>
        </is>
      </c>
    </row>
    <row r="7">
      <c r="A7" t="inlineStr">
        <is>
          <t>Taux d'abandon étudiants</t>
        </is>
      </c>
      <c r="B7" t="inlineStr">
        <is>
          <t>7.2%</t>
        </is>
      </c>
      <c r="C7" t="inlineStr">
        <is>
          <t>&lt; 10%</t>
        </is>
      </c>
      <c r="D7" t="inlineStr">
        <is>
          <t>Conforme</t>
        </is>
      </c>
    </row>
    <row r="8">
      <c r="A8" t="inlineStr">
        <is>
          <t>Taux de présence cours</t>
        </is>
      </c>
      <c r="B8" t="inlineStr">
        <is>
          <t>91.5%</t>
        </is>
      </c>
      <c r="C8" t="inlineStr">
        <is>
          <t>&gt; 85%</t>
        </is>
      </c>
      <c r="D8" t="inlineStr">
        <is>
          <t>Conforme</t>
        </is>
      </c>
    </row>
    <row r="9">
      <c r="A9" t="inlineStr">
        <is>
          <t>Taux de redoublement</t>
        </is>
      </c>
      <c r="B9" t="inlineStr">
        <is>
          <t>9.8%</t>
        </is>
      </c>
      <c r="C9" t="inlineStr">
        <is>
          <t>&lt; 12%</t>
        </is>
      </c>
      <c r="D9" t="inlineStr">
        <is>
          <t>Conforme</t>
        </is>
      </c>
    </row>
    <row r="11">
      <c r="A11">
        <f>== SECTION FINANCIÈRE ===</f>
        <v/>
      </c>
    </row>
    <row r="12">
      <c r="A12" t="inlineStr">
        <is>
          <t>Indicateur</t>
        </is>
      </c>
      <c r="B12" t="inlineStr">
        <is>
          <t>Réalisé</t>
        </is>
      </c>
      <c r="C12" t="inlineStr">
        <is>
          <t>Prévu</t>
        </is>
      </c>
      <c r="D12" t="inlineStr">
        <is>
          <t>Écart</t>
        </is>
      </c>
    </row>
    <row r="13">
      <c r="A13" t="inlineStr">
        <is>
          <t>Budget total consommé</t>
        </is>
      </c>
      <c r="B13" t="inlineStr">
        <is>
          <t>3 150 000 TND</t>
        </is>
      </c>
      <c r="C13" t="inlineStr">
        <is>
          <t>3 500 000 TND</t>
        </is>
      </c>
      <c r="D13" t="inlineStr">
        <is>
          <t>-350 000 TND</t>
        </is>
      </c>
    </row>
    <row r="14">
      <c r="A14" t="inlineStr">
        <is>
          <t>Taux exécution budgétaire</t>
        </is>
      </c>
      <c r="B14" t="inlineStr">
        <is>
          <t>90%</t>
        </is>
      </c>
      <c r="C14" t="inlineStr">
        <is>
          <t>&gt; 85%</t>
        </is>
      </c>
      <c r="D14" t="inlineStr">
        <is>
          <t>+5%</t>
        </is>
      </c>
    </row>
    <row r="15">
      <c r="A15" t="inlineStr">
        <is>
          <t>Coût moyen par étudiant</t>
        </is>
      </c>
      <c r="B15" t="inlineStr">
        <is>
          <t>1 950 TND</t>
        </is>
      </c>
      <c r="C15" t="inlineStr">
        <is>
          <t>&lt; 2 500 TND</t>
        </is>
      </c>
      <c r="D15" t="inlineStr">
        <is>
          <t>Conforme</t>
        </is>
      </c>
    </row>
    <row r="17">
      <c r="A17">
        <f>== RESSOURCES HUMAINES ===</f>
        <v/>
      </c>
    </row>
    <row r="18">
      <c r="A18" t="inlineStr">
        <is>
          <t>Indicateur</t>
        </is>
      </c>
      <c r="B18" t="inlineStr">
        <is>
          <t>Valeur</t>
        </is>
      </c>
      <c r="C18" t="inlineStr">
        <is>
          <t>Unité</t>
        </is>
      </c>
    </row>
    <row r="19">
      <c r="A19" t="inlineStr">
        <is>
          <t>Effectif enseignants permanents</t>
        </is>
      </c>
      <c r="B19" t="inlineStr">
        <is>
          <t>145</t>
        </is>
      </c>
      <c r="C19" t="inlineStr">
        <is>
          <t>ETP</t>
        </is>
      </c>
    </row>
    <row r="20">
      <c r="A20" t="inlineStr">
        <is>
          <t>Taux d'absentéisme</t>
        </is>
      </c>
      <c r="B20" t="inlineStr">
        <is>
          <t>4.8</t>
        </is>
      </c>
      <c r="C20" t="inlineStr">
        <is>
          <t>%</t>
        </is>
      </c>
    </row>
    <row r="21">
      <c r="A21" t="inlineStr">
        <is>
          <t>Heures formation moyenne</t>
        </is>
      </c>
      <c r="B21" t="inlineStr">
        <is>
          <t>22</t>
        </is>
      </c>
      <c r="C21" t="inlineStr">
        <is>
          <t>h/an</t>
        </is>
      </c>
    </row>
    <row r="23">
      <c r="A23">
        <f>== ESG / DÉVELOPPEMENT DURABLE ===</f>
        <v/>
      </c>
    </row>
    <row r="24">
      <c r="A24" t="inlineStr">
        <is>
          <t>Indicateur</t>
        </is>
      </c>
      <c r="B24" t="inlineStr">
        <is>
          <t>Valeur</t>
        </is>
      </c>
      <c r="C24" t="inlineStr">
        <is>
          <t>Unité</t>
        </is>
      </c>
    </row>
    <row r="25">
      <c r="A25" t="inlineStr">
        <is>
          <t>Consommation énergie/étudiant</t>
        </is>
      </c>
      <c r="B25" t="inlineStr">
        <is>
          <t>1120</t>
        </is>
      </c>
      <c r="C25" t="inlineStr">
        <is>
          <t>kWh</t>
        </is>
      </c>
    </row>
    <row r="26">
      <c r="A26" t="inlineStr">
        <is>
          <t>Taux de recyclage</t>
        </is>
      </c>
      <c r="B26" t="inlineStr">
        <is>
          <t>31</t>
        </is>
      </c>
      <c r="C26" t="inlineStr">
        <is>
          <t>%</t>
        </is>
      </c>
    </row>
    <row r="27">
      <c r="A27" t="inlineStr">
        <is>
          <t>Empreinte carbone campus</t>
        </is>
      </c>
      <c r="B27" t="inlineStr">
        <is>
          <t>42</t>
        </is>
      </c>
      <c r="C27" t="inlineStr">
        <is>
          <t>tonnes 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2026-04-25T20:44:28Z</dcterms:created>
  <dcterms:modified xsi:type="dcterms:W3CDTF">2026-04-25T20:44:28Z</dcterms:modified>
</cp:coreProperties>
</file>